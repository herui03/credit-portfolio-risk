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Limits" sheetId="2" r:id="rId2"/>
    <sheet name="Concentration" sheetId="3" r:id="rId3"/>
    <sheet name="EWI Panel" sheetId="4" r:id="rId4"/>
    <sheet name="Stress" sheetId="5" r:id="rId5"/>
  </sheets>
  <calcPr calcId="124519" fullCalcOnLoad="1"/>
</workbook>
</file>

<file path=xl/sharedStrings.xml><?xml version="1.0" encoding="utf-8"?>
<sst xmlns="http://schemas.openxmlformats.org/spreadsheetml/2006/main" count="222" uniqueCount="140">
  <si>
    <t>Credit Portfolio Risk — Committee Pack</t>
  </si>
  <si>
    <t>As of</t>
  </si>
  <si>
    <t>2018-12-01</t>
  </si>
  <si>
    <t>Portfolio</t>
  </si>
  <si>
    <t>LendingClub accepted loans 2007-06 to 2018-12 (real, public data)</t>
  </si>
  <si>
    <t>Live book</t>
  </si>
  <si>
    <t>907,904 loans | $9.510bn outstanding (out_prncp &gt; 0)</t>
  </si>
  <si>
    <t>Limits</t>
  </si>
  <si>
    <t>7 evaluated | 4 BREACH</t>
  </si>
  <si>
    <t>EWI panel</t>
  </si>
  <si>
    <t>E-01 FPD RED (5.093x baseline) | E-02 Rating Drift RED (4 grades) | E-03 Vintage NO SIGNAL for 2018</t>
  </si>
  <si>
    <t>Stress</t>
  </si>
  <si>
    <t>Base 5.76% | Adverse 8.65% | Severe 13.43% loss on live book</t>
  </si>
  <si>
    <t>READ THIS FIRST</t>
  </si>
  <si>
    <t>ALL THRESHOLDS IN THIS PACK ARE ILLUSTRATIVE. Every limit and EWI threshold was set by the analyst and calibrated against the observed book. In a real institution they descend from a board-approved Risk Appetite Statement and are NOT fitted to the portfolio they police. Read the 4 breaches as 'how a diversification-minded lender would constrain this book', never as 'this book is in violation'.</t>
  </si>
  <si>
    <t>'NO SIGNAL' IS NOT 'GREEN'. E-02 and E-03 return nothing for the 2018 vintage — 495,242 loans, the largest in the book. They require 12 months on book and the cohort is 0-11 months old. A blank is not reassurance; it is a structural blind spot, and it sits on the freshest exposure by construction. Only E-01 (first-payment default) can speak, and it reads 5.093x baseline.</t>
  </si>
  <si>
    <t>THE BASE STRESS CASE OVERSTATES LOSS. PD is an origination-cohort MOB-12 rate applied to a book whose median loan is already at MOB 12.0 (51.8% past MOB 12). The median default lands at MOB 14, so the median live loan has survived the peak-hazard window. The bias is conservative and declared.</t>
  </si>
  <si>
    <t>NO MACRO MODEL IS FITTED. corr(default, unemployment) = -0.521 on 11 vintages — negative, because the lender tightened underwriting as unemployment peaked. Fitting it would forecast that recessions REDUCE losses. Scenarios are within-grade PD shocks anchored to observed variation instead.</t>
  </si>
  <si>
    <t>FORMULA RESULTS IN THIS WORKBOOK ARE NOT VERIFIED BY THE PIPELINE. Source values are asserted cell-by-cell against outputs/*.csv. Derived cells are Excel formulas, and no calculation engine runs in the pipeline — verify_claims.py can assert a formula's text, never its result. That is EUC risk and it is stated rather than hidden. This pack is regenerated every run and never hand-edited; the CSVs are the source of truth. If workbook and CSV disagree, the workbook is wrong.</t>
  </si>
  <si>
    <t>Limit</t>
  </si>
  <si>
    <t>Dimension</t>
  </si>
  <si>
    <t>Metric</t>
  </si>
  <si>
    <t>Driver</t>
  </si>
  <si>
    <t>Actual</t>
  </si>
  <si>
    <t>Threshold</t>
  </si>
  <si>
    <t>Utilisation %</t>
  </si>
  <si>
    <t>Status</t>
  </si>
  <si>
    <t>Provenance</t>
  </si>
  <si>
    <t>L-01</t>
  </si>
  <si>
    <t>addr_state</t>
  </si>
  <si>
    <t>single_bucket_pct</t>
  </si>
  <si>
    <t>CA</t>
  </si>
  <si>
    <t>ILLUSTRATIVE - set by us</t>
  </si>
  <si>
    <t>L-02</t>
  </si>
  <si>
    <t>purpose</t>
  </si>
  <si>
    <t>debt_consolidation</t>
  </si>
  <si>
    <t>L-03</t>
  </si>
  <si>
    <t>top_n_pct</t>
  </si>
  <si>
    <t>top_10</t>
  </si>
  <si>
    <t>L-04</t>
  </si>
  <si>
    <t>grade</t>
  </si>
  <si>
    <t>group_pct</t>
  </si>
  <si>
    <t>E,F,G</t>
  </si>
  <si>
    <t>L-05</t>
  </si>
  <si>
    <t>hhi_normalised</t>
  </si>
  <si>
    <t>n=14 raw=4074.0 floor=714.3</t>
  </si>
  <si>
    <t>ILLUSTRATIVE threshold</t>
  </si>
  <si>
    <t>L-06</t>
  </si>
  <si>
    <t>n=50 raw=507.1 floor=200.0</t>
  </si>
  <si>
    <t>L-07</t>
  </si>
  <si>
    <t>n=7 raw=2363.3 floor=1428.6</t>
  </si>
  <si>
    <t>Utilisation and Status are FORMULAS (=E/F*100 and IF(E&gt;F,...)). Edit a threshold in column F and both recompute. Their results are not asserted by the pipeline — see Cover.</t>
  </si>
  <si>
    <t>Bucket</t>
  </si>
  <si>
    <t>Rank</t>
  </si>
  <si>
    <t>Loans</t>
  </si>
  <si>
    <t>Exposure $mm</t>
  </si>
  <si>
    <t>% of book</t>
  </si>
  <si>
    <t>Cumulative %</t>
  </si>
  <si>
    <t>n buckets</t>
  </si>
  <si>
    <t>HHI raw</t>
  </si>
  <si>
    <t>HHI floor</t>
  </si>
  <si>
    <t>HHI normalised</t>
  </si>
  <si>
    <t>TX</t>
  </si>
  <si>
    <t>NY</t>
  </si>
  <si>
    <t>FL</t>
  </si>
  <si>
    <t>IL</t>
  </si>
  <si>
    <t>NJ</t>
  </si>
  <si>
    <t>GA</t>
  </si>
  <si>
    <t>PA</t>
  </si>
  <si>
    <t>OH</t>
  </si>
  <si>
    <t>VA</t>
  </si>
  <si>
    <t>C</t>
  </si>
  <si>
    <t>B</t>
  </si>
  <si>
    <t>A</t>
  </si>
  <si>
    <t>D</t>
  </si>
  <si>
    <t>E</t>
  </si>
  <si>
    <t>F</t>
  </si>
  <si>
    <t>G</t>
  </si>
  <si>
    <t>home_ownership</t>
  </si>
  <si>
    <t>MORTGAGE</t>
  </si>
  <si>
    <t>RENT</t>
  </si>
  <si>
    <t>OWN</t>
  </si>
  <si>
    <t>ANY</t>
  </si>
  <si>
    <t>NONE</t>
  </si>
  <si>
    <t>credit_card</t>
  </si>
  <si>
    <t>home_improvement</t>
  </si>
  <si>
    <t>other</t>
  </si>
  <si>
    <t>major_purchase</t>
  </si>
  <si>
    <t>small_business</t>
  </si>
  <si>
    <t>house</t>
  </si>
  <si>
    <t>medical</t>
  </si>
  <si>
    <t>car</t>
  </si>
  <si>
    <t>moving</t>
  </si>
  <si>
    <t>term</t>
  </si>
  <si>
    <t>60 months</t>
  </si>
  <si>
    <t>36 months</t>
  </si>
  <si>
    <t>HHI floor = 10000/n. Raw HHI is meaningless without n: 'term' scores 5003 raw ('highly concentrated' on DOJ bands) while being a 51/49 split — 3 points above its own floor. Limits are set on HHI normalised. The 1500/2500 bands are a US antitrust standard, not a banking regulation.</t>
  </si>
  <si>
    <t>EWI</t>
  </si>
  <si>
    <t>Indicator</t>
  </si>
  <si>
    <t>Scope</t>
  </si>
  <si>
    <t>Vintage</t>
  </si>
  <si>
    <t>Value</t>
  </si>
  <si>
    <t>Baseline</t>
  </si>
  <si>
    <t>Ratio / Drift</t>
  </si>
  <si>
    <t>E-01</t>
  </si>
  <si>
    <t>First-Payment Default</t>
  </si>
  <si>
    <t>portfolio</t>
  </si>
  <si>
    <t>AMBER</t>
  </si>
  <si>
    <t>RED</t>
  </si>
  <si>
    <t>E-02</t>
  </si>
  <si>
    <t>Rating Drift</t>
  </si>
  <si>
    <t>grade A</t>
  </si>
  <si>
    <t>grade B</t>
  </si>
  <si>
    <t>grade C</t>
  </si>
  <si>
    <t>grade D</t>
  </si>
  <si>
    <t>E-03</t>
  </si>
  <si>
    <t>Vintage Deterioration</t>
  </si>
  <si>
    <t>GREEN</t>
  </si>
  <si>
    <t>—</t>
  </si>
  <si>
    <t>NO SIGNAL - cohort not observed to MOB 12</t>
  </si>
  <si>
    <t>'NO SIGNAL' IS NOT 'GREEN'. E-03 cannot speak about the 2018 vintage (495,242 loans) — it needs MOB 12 and the cohort is 0-11 months old. Unknown is not zero, so it returns no row rather than a flattering number. E-01 (first-payment default) is observable from ~MOB 5 and reads 5.093x its 2013-2015 baseline — the highest in the book's history.</t>
  </si>
  <si>
    <t>EWI thresholds (AMBER / RED) and their provenance:</t>
  </si>
  <si>
    <t xml:space="preserve">ILLUSTRATIVE thresholds. The 2x/3x lines are our judgement. </t>
  </si>
  <si>
    <t>ILLUSTRATIVE thresholds. The 20%/30% lines are our judgement</t>
  </si>
  <si>
    <t>ILLUSTRATIVE thresholds.</t>
  </si>
  <si>
    <t>Scenario</t>
  </si>
  <si>
    <t>Name</t>
  </si>
  <si>
    <t>PD multiplier</t>
  </si>
  <si>
    <t>Expected loss $mm</t>
  </si>
  <si>
    <t>Loss rate %</t>
  </si>
  <si>
    <t>vs Base $mm</t>
  </si>
  <si>
    <t>S-00</t>
  </si>
  <si>
    <t>Base</t>
  </si>
  <si>
    <t>OBSERVED</t>
  </si>
  <si>
    <t>S-01</t>
  </si>
  <si>
    <t>Adverse</t>
  </si>
  <si>
    <t>DATA-ANCHORED</t>
  </si>
  <si>
    <t>S-02</t>
  </si>
  <si>
    <t>Severe</t>
  </si>
  <si>
    <t>No macro model is fitted. corr(MOB-12 default, unemployment at origination) = -0.521 across 11 vintages — NEGATIVE, because the lender tightened underwriting as unemployment peaked (corr with % grade A/B = -0.908). Fitting it would forecast that a recession IMPROVES the book, i.e. the scenario would assume its own mitigant. Multipliers are within-grade PD shocks anchored to observed variation: 1.50x sits inside the observed 2013-&gt;2016 deterioration (+44% to +59%); 2.33x is the largest within-grade swing this book has shown (grade A, 1.16% -&gt; 2.70%). The scenarios are hypothetical; only the magnitudes are anchored.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</si>
</sst>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#,##0"/>
    <numFmt numFmtId="167" formatCode="#,##0.0"/>
    <numFmt numFmtId="168" formatCode="0.00"/>
  </numFmts>
  <fonts count="10">
    <font>
      <sz val="11"/>
      <color theme="1"/>
      <name val="Calibri"/>
      <family val="2"/>
      <scheme val="minor"/>
    </font>
    <font>
      <b/>
      <sz val="16"/>
      <color rgb="FF1F35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9E2A2B"/>
      <name val="Calibri"/>
      <family val="2"/>
      <scheme val="minor"/>
    </font>
    <font>
      <sz val="11"/>
      <color rgb="FF4A463E"/>
      <name val="Calibri"/>
      <family val="2"/>
      <scheme val="minor"/>
    </font>
    <font>
      <b/>
      <sz val="11"/>
      <color rgb="FFB25E09"/>
      <name val="Calibri"/>
      <family val="2"/>
      <scheme val="minor"/>
    </font>
    <font>
      <b/>
      <sz val="11"/>
      <color rgb="FFB42318"/>
      <name val="Calibri"/>
      <family val="2"/>
      <scheme val="minor"/>
    </font>
    <font>
      <sz val="11"/>
      <color rgb="FF0F766E"/>
      <name val="Calibri"/>
      <family val="2"/>
      <scheme val="minor"/>
    </font>
    <font>
      <i/>
      <sz val="11"/>
      <color rgb="FF47546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  <fill>
      <patternFill patternType="solid">
        <fgColor rgb="FF1F3554"/>
        <bgColor indexed="64"/>
      </patternFill>
    </fill>
    <fill>
      <patternFill patternType="solid">
        <fgColor rgb="FFFDF3F2"/>
        <bgColor indexed="64"/>
      </patternFill>
    </fill>
    <fill>
      <patternFill patternType="solid">
        <fgColor rgb="FFFEF6E7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8F1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3" fillId="3" borderId="0" xfId="0" applyFont="1" applyFill="1" applyAlignment="1">
      <alignment horizontal="left"/>
    </xf>
    <xf numFmtId="0" fontId="4" fillId="4" borderId="1" xfId="0" applyFont="1" applyFill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 applyAlignment="1">
      <alignment vertical="top" wrapText="1"/>
    </xf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6" fillId="5" borderId="1" xfId="0" applyFont="1" applyFill="1" applyBorder="1"/>
    <xf numFmtId="0" fontId="7" fillId="6" borderId="1" xfId="0" applyFont="1" applyFill="1" applyBorder="1"/>
    <xf numFmtId="0" fontId="8" fillId="7" borderId="1" xfId="0" applyFont="1" applyFill="1" applyBorder="1"/>
    <xf numFmtId="0" fontId="9" fillId="2" borderId="1" xfId="0" applyFont="1" applyFill="1" applyBorder="1"/>
  </cellXfs>
  <cellStyles count="1">
    <cellStyle name="Normal" xfId="0" builtinId="0"/>
  </cellStyles>
  <dxfs count="2">
    <dxf>
      <font>
        <b/>
        <color rgb="FFB42318"/>
      </font>
      <fill>
        <patternFill>
          <bgColor rgb="FFFDEC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F766E"/>
      </font>
      <fill>
        <patternFill>
          <bgColor rgb="FFE8F1E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11" spans="1:2">
      <c r="A11" s="4" t="s">
        <v>13</v>
      </c>
      <c r="B11" s="4"/>
    </row>
    <row r="13" spans="1:2" ht="58" customHeight="1">
      <c r="A13" s="5" t="s">
        <v>14</v>
      </c>
      <c r="B13" s="5"/>
    </row>
    <row r="14" spans="1:2" ht="58" customHeight="1">
      <c r="A14" s="5" t="s">
        <v>15</v>
      </c>
      <c r="B14" s="5"/>
    </row>
    <row r="15" spans="1:2" ht="58" customHeight="1">
      <c r="A15" s="5" t="s">
        <v>16</v>
      </c>
      <c r="B15" s="5"/>
    </row>
    <row r="16" spans="1:2" ht="58" customHeight="1">
      <c r="A16" s="5" t="s">
        <v>17</v>
      </c>
      <c r="B16" s="5"/>
    </row>
    <row r="17" spans="1:2" ht="58" customHeight="1">
      <c r="A17" s="5" t="s">
        <v>18</v>
      </c>
      <c r="B17" s="5"/>
    </row>
  </sheetData>
  <mergeCells count="6">
    <mergeCell ref="A11:B11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5.7109375" customWidth="1"/>
    <col min="3" max="3" width="19.7109375" customWidth="1"/>
    <col min="4" max="4" width="30.7109375" customWidth="1"/>
    <col min="5" max="6" width="11.7109375" customWidth="1"/>
    <col min="7" max="7" width="14.7109375" customWidth="1"/>
    <col min="8" max="8" width="11.7109375" customWidth="1"/>
    <col min="9" max="9" width="46.7109375" customWidth="1"/>
  </cols>
  <sheetData>
    <row r="1" spans="1:9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>
      <c r="A2" s="3" t="s">
        <v>28</v>
      </c>
      <c r="B2" s="3" t="s">
        <v>29</v>
      </c>
      <c r="C2" s="3" t="s">
        <v>30</v>
      </c>
      <c r="D2" s="3" t="s">
        <v>31</v>
      </c>
      <c r="E2" s="6">
        <v>13.275</v>
      </c>
      <c r="F2" s="6">
        <v>12</v>
      </c>
      <c r="G2" s="7">
        <f>E2/F2*100</f>
        <v>0</v>
      </c>
      <c r="H2" s="3">
        <f>IF(E2&gt;F2,"BREACH","PASS")</f>
        <v>0</v>
      </c>
      <c r="I2" s="3" t="s">
        <v>32</v>
      </c>
    </row>
    <row r="3" spans="1:9">
      <c r="A3" s="3" t="s">
        <v>33</v>
      </c>
      <c r="B3" s="3" t="s">
        <v>34</v>
      </c>
      <c r="C3" s="3" t="s">
        <v>30</v>
      </c>
      <c r="D3" s="3" t="s">
        <v>35</v>
      </c>
      <c r="E3" s="6">
        <v>58.422</v>
      </c>
      <c r="F3" s="6">
        <v>50</v>
      </c>
      <c r="G3" s="7">
        <f>E3/F3*100</f>
        <v>0</v>
      </c>
      <c r="H3" s="3">
        <f>IF(E3&gt;F3,"BREACH","PASS")</f>
        <v>0</v>
      </c>
      <c r="I3" s="3" t="s">
        <v>32</v>
      </c>
    </row>
    <row r="4" spans="1:9">
      <c r="A4" s="3" t="s">
        <v>36</v>
      </c>
      <c r="B4" s="3" t="s">
        <v>29</v>
      </c>
      <c r="C4" s="3" t="s">
        <v>37</v>
      </c>
      <c r="D4" s="3" t="s">
        <v>38</v>
      </c>
      <c r="E4" s="6">
        <v>58.103</v>
      </c>
      <c r="F4" s="6">
        <v>55</v>
      </c>
      <c r="G4" s="7">
        <f>E4/F4*100</f>
        <v>0</v>
      </c>
      <c r="H4" s="3">
        <f>IF(E4&gt;F4,"BREACH","PASS")</f>
        <v>0</v>
      </c>
      <c r="I4" s="3" t="s">
        <v>32</v>
      </c>
    </row>
    <row r="5" spans="1:9">
      <c r="A5" s="3" t="s">
        <v>39</v>
      </c>
      <c r="B5" s="3" t="s">
        <v>40</v>
      </c>
      <c r="C5" s="3" t="s">
        <v>41</v>
      </c>
      <c r="D5" s="3" t="s">
        <v>42</v>
      </c>
      <c r="E5" s="6">
        <v>6.475</v>
      </c>
      <c r="F5" s="6">
        <v>8</v>
      </c>
      <c r="G5" s="7">
        <f>E5/F5*100</f>
        <v>0</v>
      </c>
      <c r="H5" s="3">
        <f>IF(E5&gt;F5,"BREACH","PASS")</f>
        <v>0</v>
      </c>
      <c r="I5" s="3" t="s">
        <v>32</v>
      </c>
    </row>
    <row r="6" spans="1:9">
      <c r="A6" s="3" t="s">
        <v>43</v>
      </c>
      <c r="B6" s="3" t="s">
        <v>34</v>
      </c>
      <c r="C6" s="3" t="s">
        <v>44</v>
      </c>
      <c r="D6" s="3" t="s">
        <v>45</v>
      </c>
      <c r="E6" s="6">
        <v>0.362</v>
      </c>
      <c r="F6" s="6">
        <v>0.3</v>
      </c>
      <c r="G6" s="7">
        <f>E6/F6*100</f>
        <v>0</v>
      </c>
      <c r="H6" s="3">
        <f>IF(E6&gt;F6,"BREACH","PASS")</f>
        <v>0</v>
      </c>
      <c r="I6" s="3" t="s">
        <v>46</v>
      </c>
    </row>
    <row r="7" spans="1:9">
      <c r="A7" s="3" t="s">
        <v>47</v>
      </c>
      <c r="B7" s="3" t="s">
        <v>29</v>
      </c>
      <c r="C7" s="3" t="s">
        <v>44</v>
      </c>
      <c r="D7" s="3" t="s">
        <v>48</v>
      </c>
      <c r="E7" s="6">
        <v>0.031</v>
      </c>
      <c r="F7" s="6">
        <v>0.15</v>
      </c>
      <c r="G7" s="7">
        <f>E7/F7*100</f>
        <v>0</v>
      </c>
      <c r="H7" s="3">
        <f>IF(E7&gt;F7,"BREACH","PASS")</f>
        <v>0</v>
      </c>
      <c r="I7" s="3" t="s">
        <v>46</v>
      </c>
    </row>
    <row r="8" spans="1:9">
      <c r="A8" s="3" t="s">
        <v>49</v>
      </c>
      <c r="B8" s="3" t="s">
        <v>40</v>
      </c>
      <c r="C8" s="3" t="s">
        <v>44</v>
      </c>
      <c r="D8" s="3" t="s">
        <v>50</v>
      </c>
      <c r="E8" s="6">
        <v>0.109</v>
      </c>
      <c r="F8" s="6">
        <v>0.25</v>
      </c>
      <c r="G8" s="7">
        <f>E8/F8*100</f>
        <v>0</v>
      </c>
      <c r="H8" s="3">
        <f>IF(E8&gt;F8,"BREACH","PASS")</f>
        <v>0</v>
      </c>
      <c r="I8" s="3" t="s">
        <v>46</v>
      </c>
    </row>
    <row r="10" spans="1:9">
      <c r="A10" s="8" t="s">
        <v>51</v>
      </c>
    </row>
  </sheetData>
  <conditionalFormatting sqref="H2:H8">
    <cfRule type="cellIs" dxfId="0" priority="1" operator="equal">
      <formula>"BREACH"</formula>
    </cfRule>
    <cfRule type="cellIs" dxfId="1" priority="2" operator="equal">
      <formula>"PASS"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7.7109375" customWidth="1"/>
    <col min="4" max="4" width="10.7109375" customWidth="1"/>
    <col min="5" max="5" width="13.7109375" customWidth="1"/>
    <col min="6" max="6" width="12.7109375" customWidth="1"/>
    <col min="7" max="7" width="14.7109375" customWidth="1"/>
    <col min="8" max="10" width="10.7109375" customWidth="1"/>
    <col min="11" max="11" width="14.7109375" customWidth="1"/>
  </cols>
  <sheetData>
    <row r="1" spans="1:11">
      <c r="A1" s="2" t="s">
        <v>20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</row>
    <row r="2" spans="1:11">
      <c r="A2" s="3" t="s">
        <v>29</v>
      </c>
      <c r="B2" s="3" t="s">
        <v>31</v>
      </c>
      <c r="C2" s="9">
        <v>1</v>
      </c>
      <c r="D2" s="9">
        <v>117046</v>
      </c>
      <c r="E2" s="10">
        <v>1262.5</v>
      </c>
      <c r="F2" s="11">
        <v>13.27</v>
      </c>
      <c r="G2" s="11">
        <v>13.27</v>
      </c>
      <c r="H2" s="9">
        <v>50</v>
      </c>
      <c r="I2" s="11">
        <v>507.1</v>
      </c>
      <c r="J2" s="11">
        <v>200</v>
      </c>
      <c r="K2" s="6">
        <v>0.031</v>
      </c>
    </row>
    <row r="3" spans="1:11">
      <c r="A3" s="3" t="s">
        <v>29</v>
      </c>
      <c r="B3" s="3" t="s">
        <v>62</v>
      </c>
      <c r="C3" s="9">
        <v>2</v>
      </c>
      <c r="D3" s="9">
        <v>75618</v>
      </c>
      <c r="E3" s="10">
        <v>814.5</v>
      </c>
      <c r="F3" s="11">
        <v>8.56</v>
      </c>
      <c r="G3" s="11">
        <v>21.84</v>
      </c>
      <c r="H3" s="9">
        <v>50</v>
      </c>
      <c r="I3" s="11">
        <v>507.1</v>
      </c>
      <c r="J3" s="11">
        <v>200</v>
      </c>
      <c r="K3" s="6">
        <v>0.031</v>
      </c>
    </row>
    <row r="4" spans="1:11">
      <c r="A4" s="3" t="s">
        <v>29</v>
      </c>
      <c r="B4" s="3" t="s">
        <v>63</v>
      </c>
      <c r="C4" s="9">
        <v>3</v>
      </c>
      <c r="D4" s="9">
        <v>75924</v>
      </c>
      <c r="E4" s="10">
        <v>762.5</v>
      </c>
      <c r="F4" s="11">
        <v>8.02</v>
      </c>
      <c r="G4" s="11">
        <v>29.86</v>
      </c>
      <c r="H4" s="9">
        <v>50</v>
      </c>
      <c r="I4" s="11">
        <v>507.1</v>
      </c>
      <c r="J4" s="11">
        <v>200</v>
      </c>
      <c r="K4" s="6">
        <v>0.031</v>
      </c>
    </row>
    <row r="5" spans="1:11">
      <c r="A5" s="3" t="s">
        <v>29</v>
      </c>
      <c r="B5" s="3" t="s">
        <v>64</v>
      </c>
      <c r="C5" s="9">
        <v>4</v>
      </c>
      <c r="D5" s="9">
        <v>65809</v>
      </c>
      <c r="E5" s="10">
        <v>672.1</v>
      </c>
      <c r="F5" s="11">
        <v>7.07</v>
      </c>
      <c r="G5" s="11">
        <v>36.92</v>
      </c>
      <c r="H5" s="9">
        <v>50</v>
      </c>
      <c r="I5" s="11">
        <v>507.1</v>
      </c>
      <c r="J5" s="11">
        <v>200</v>
      </c>
      <c r="K5" s="6">
        <v>0.031</v>
      </c>
    </row>
    <row r="6" spans="1:11">
      <c r="A6" s="3" t="s">
        <v>29</v>
      </c>
      <c r="B6" s="3" t="s">
        <v>65</v>
      </c>
      <c r="C6" s="9">
        <v>5</v>
      </c>
      <c r="D6" s="9">
        <v>39099</v>
      </c>
      <c r="E6" s="10">
        <v>412.5</v>
      </c>
      <c r="F6" s="11">
        <v>4.34</v>
      </c>
      <c r="G6" s="11">
        <v>41.26</v>
      </c>
      <c r="H6" s="9">
        <v>50</v>
      </c>
      <c r="I6" s="11">
        <v>507.1</v>
      </c>
      <c r="J6" s="11">
        <v>200</v>
      </c>
      <c r="K6" s="6">
        <v>0.031</v>
      </c>
    </row>
    <row r="7" spans="1:11">
      <c r="A7" s="3" t="s">
        <v>29</v>
      </c>
      <c r="B7" s="3" t="s">
        <v>66</v>
      </c>
      <c r="C7" s="9">
        <v>6</v>
      </c>
      <c r="D7" s="9">
        <v>34393</v>
      </c>
      <c r="E7" s="10">
        <v>371.9</v>
      </c>
      <c r="F7" s="11">
        <v>3.91</v>
      </c>
      <c r="G7" s="11">
        <v>45.17</v>
      </c>
      <c r="H7" s="9">
        <v>50</v>
      </c>
      <c r="I7" s="11">
        <v>507.1</v>
      </c>
      <c r="J7" s="11">
        <v>200</v>
      </c>
      <c r="K7" s="6">
        <v>0.031</v>
      </c>
    </row>
    <row r="8" spans="1:11">
      <c r="A8" s="3" t="s">
        <v>29</v>
      </c>
      <c r="B8" s="3" t="s">
        <v>67</v>
      </c>
      <c r="C8" s="9">
        <v>7</v>
      </c>
      <c r="D8" s="9">
        <v>30567</v>
      </c>
      <c r="E8" s="10">
        <v>327.6</v>
      </c>
      <c r="F8" s="11">
        <v>3.45</v>
      </c>
      <c r="G8" s="11">
        <v>48.62</v>
      </c>
      <c r="H8" s="9">
        <v>50</v>
      </c>
      <c r="I8" s="11">
        <v>507.1</v>
      </c>
      <c r="J8" s="11">
        <v>200</v>
      </c>
      <c r="K8" s="6">
        <v>0.031</v>
      </c>
    </row>
    <row r="9" spans="1:11">
      <c r="A9" s="3" t="s">
        <v>29</v>
      </c>
      <c r="B9" s="3" t="s">
        <v>68</v>
      </c>
      <c r="C9" s="9">
        <v>8</v>
      </c>
      <c r="D9" s="9">
        <v>31127</v>
      </c>
      <c r="E9" s="10">
        <v>317.3</v>
      </c>
      <c r="F9" s="11">
        <v>3.34</v>
      </c>
      <c r="G9" s="11">
        <v>51.95</v>
      </c>
      <c r="H9" s="9">
        <v>50</v>
      </c>
      <c r="I9" s="11">
        <v>507.1</v>
      </c>
      <c r="J9" s="11">
        <v>200</v>
      </c>
      <c r="K9" s="6">
        <v>0.031</v>
      </c>
    </row>
    <row r="10" spans="1:11">
      <c r="A10" s="3" t="s">
        <v>29</v>
      </c>
      <c r="B10" s="3" t="s">
        <v>69</v>
      </c>
      <c r="C10" s="9">
        <v>9</v>
      </c>
      <c r="D10" s="9">
        <v>31006</v>
      </c>
      <c r="E10" s="10">
        <v>307.1</v>
      </c>
      <c r="F10" s="11">
        <v>3.23</v>
      </c>
      <c r="G10" s="11">
        <v>55.18</v>
      </c>
      <c r="H10" s="9">
        <v>50</v>
      </c>
      <c r="I10" s="11">
        <v>507.1</v>
      </c>
      <c r="J10" s="11">
        <v>200</v>
      </c>
      <c r="K10" s="6">
        <v>0.031</v>
      </c>
    </row>
    <row r="11" spans="1:11">
      <c r="A11" s="3" t="s">
        <v>29</v>
      </c>
      <c r="B11" s="3" t="s">
        <v>70</v>
      </c>
      <c r="C11" s="9">
        <v>10</v>
      </c>
      <c r="D11" s="9">
        <v>24705</v>
      </c>
      <c r="E11" s="10">
        <v>277.8</v>
      </c>
      <c r="F11" s="11">
        <v>2.92</v>
      </c>
      <c r="G11" s="11">
        <v>58.1</v>
      </c>
      <c r="H11" s="9">
        <v>50</v>
      </c>
      <c r="I11" s="11">
        <v>507.1</v>
      </c>
      <c r="J11" s="11">
        <v>200</v>
      </c>
      <c r="K11" s="6">
        <v>0.031</v>
      </c>
    </row>
    <row r="12" spans="1:11">
      <c r="A12" s="3" t="s">
        <v>40</v>
      </c>
      <c r="B12" s="3" t="s">
        <v>71</v>
      </c>
      <c r="C12" s="9">
        <v>1</v>
      </c>
      <c r="D12" s="9">
        <v>266538</v>
      </c>
      <c r="E12" s="10">
        <v>2847.3</v>
      </c>
      <c r="F12" s="11">
        <v>29.94</v>
      </c>
      <c r="G12" s="11">
        <v>29.94</v>
      </c>
      <c r="H12" s="9">
        <v>7</v>
      </c>
      <c r="I12" s="11">
        <v>2363.3</v>
      </c>
      <c r="J12" s="11">
        <v>1428.6</v>
      </c>
      <c r="K12" s="6">
        <v>0.109</v>
      </c>
    </row>
    <row r="13" spans="1:11">
      <c r="A13" s="3" t="s">
        <v>40</v>
      </c>
      <c r="B13" s="3" t="s">
        <v>72</v>
      </c>
      <c r="C13" s="9">
        <v>2</v>
      </c>
      <c r="D13" s="9">
        <v>268980</v>
      </c>
      <c r="E13" s="10">
        <v>2676</v>
      </c>
      <c r="F13" s="11">
        <v>28.14</v>
      </c>
      <c r="G13" s="11">
        <v>58.08</v>
      </c>
      <c r="H13" s="9">
        <v>7</v>
      </c>
      <c r="I13" s="11">
        <v>2363.3</v>
      </c>
      <c r="J13" s="11">
        <v>1428.6</v>
      </c>
      <c r="K13" s="6">
        <v>0.109</v>
      </c>
    </row>
    <row r="14" spans="1:11">
      <c r="A14" s="3" t="s">
        <v>40</v>
      </c>
      <c r="B14" s="3" t="s">
        <v>73</v>
      </c>
      <c r="C14" s="9">
        <v>3</v>
      </c>
      <c r="D14" s="9">
        <v>196647</v>
      </c>
      <c r="E14" s="10">
        <v>2002.7</v>
      </c>
      <c r="F14" s="11">
        <v>21.06</v>
      </c>
      <c r="G14" s="11">
        <v>79.13</v>
      </c>
      <c r="H14" s="9">
        <v>7</v>
      </c>
      <c r="I14" s="11">
        <v>2363.3</v>
      </c>
      <c r="J14" s="11">
        <v>1428.6</v>
      </c>
      <c r="K14" s="6">
        <v>0.109</v>
      </c>
    </row>
    <row r="15" spans="1:11">
      <c r="A15" s="3" t="s">
        <v>40</v>
      </c>
      <c r="B15" s="3" t="s">
        <v>74</v>
      </c>
      <c r="C15" s="9">
        <v>4</v>
      </c>
      <c r="D15" s="9">
        <v>122215</v>
      </c>
      <c r="E15" s="10">
        <v>1368.7</v>
      </c>
      <c r="F15" s="11">
        <v>14.39</v>
      </c>
      <c r="G15" s="11">
        <v>93.53</v>
      </c>
      <c r="H15" s="9">
        <v>7</v>
      </c>
      <c r="I15" s="11">
        <v>2363.3</v>
      </c>
      <c r="J15" s="11">
        <v>1428.6</v>
      </c>
      <c r="K15" s="6">
        <v>0.109</v>
      </c>
    </row>
    <row r="16" spans="1:11">
      <c r="A16" s="3" t="s">
        <v>40</v>
      </c>
      <c r="B16" s="3" t="s">
        <v>75</v>
      </c>
      <c r="C16" s="9">
        <v>5</v>
      </c>
      <c r="D16" s="9">
        <v>41243</v>
      </c>
      <c r="E16" s="10">
        <v>455.4</v>
      </c>
      <c r="F16" s="11">
        <v>4.79</v>
      </c>
      <c r="G16" s="11">
        <v>98.31</v>
      </c>
      <c r="H16" s="9">
        <v>7</v>
      </c>
      <c r="I16" s="11">
        <v>2363.3</v>
      </c>
      <c r="J16" s="11">
        <v>1428.6</v>
      </c>
      <c r="K16" s="6">
        <v>0.109</v>
      </c>
    </row>
    <row r="17" spans="1:11">
      <c r="A17" s="3" t="s">
        <v>40</v>
      </c>
      <c r="B17" s="3" t="s">
        <v>76</v>
      </c>
      <c r="C17" s="9">
        <v>6</v>
      </c>
      <c r="D17" s="9">
        <v>9451</v>
      </c>
      <c r="E17" s="10">
        <v>120.2</v>
      </c>
      <c r="F17" s="11">
        <v>1.26</v>
      </c>
      <c r="G17" s="11">
        <v>99.58</v>
      </c>
      <c r="H17" s="9">
        <v>7</v>
      </c>
      <c r="I17" s="11">
        <v>2363.3</v>
      </c>
      <c r="J17" s="11">
        <v>1428.6</v>
      </c>
      <c r="K17" s="6">
        <v>0.109</v>
      </c>
    </row>
    <row r="18" spans="1:11">
      <c r="A18" s="3" t="s">
        <v>40</v>
      </c>
      <c r="B18" s="3" t="s">
        <v>77</v>
      </c>
      <c r="C18" s="9">
        <v>7</v>
      </c>
      <c r="D18" s="9">
        <v>2830</v>
      </c>
      <c r="E18" s="10">
        <v>40.2</v>
      </c>
      <c r="F18" s="11">
        <v>0.42</v>
      </c>
      <c r="G18" s="11">
        <v>100</v>
      </c>
      <c r="H18" s="9">
        <v>7</v>
      </c>
      <c r="I18" s="11">
        <v>2363.3</v>
      </c>
      <c r="J18" s="11">
        <v>1428.6</v>
      </c>
      <c r="K18" s="6">
        <v>0.109</v>
      </c>
    </row>
    <row r="19" spans="1:11">
      <c r="A19" s="3" t="s">
        <v>78</v>
      </c>
      <c r="B19" s="3" t="s">
        <v>79</v>
      </c>
      <c r="C19" s="9">
        <v>1</v>
      </c>
      <c r="D19" s="9">
        <v>442258</v>
      </c>
      <c r="E19" s="10">
        <v>5173.6</v>
      </c>
      <c r="F19" s="11">
        <v>54.4</v>
      </c>
      <c r="G19" s="11">
        <v>54.4</v>
      </c>
      <c r="H19" s="9">
        <v>5</v>
      </c>
      <c r="I19" s="11">
        <v>4270</v>
      </c>
      <c r="J19" s="11">
        <v>2000</v>
      </c>
      <c r="K19" s="6">
        <v>0.284</v>
      </c>
    </row>
    <row r="20" spans="1:11">
      <c r="A20" s="3" t="s">
        <v>78</v>
      </c>
      <c r="B20" s="3" t="s">
        <v>80</v>
      </c>
      <c r="C20" s="9">
        <v>2</v>
      </c>
      <c r="D20" s="9">
        <v>357463</v>
      </c>
      <c r="E20" s="10">
        <v>3278.7</v>
      </c>
      <c r="F20" s="11">
        <v>34.47</v>
      </c>
      <c r="G20" s="11">
        <v>88.87</v>
      </c>
      <c r="H20" s="9">
        <v>5</v>
      </c>
      <c r="I20" s="11">
        <v>4270</v>
      </c>
      <c r="J20" s="11">
        <v>2000</v>
      </c>
      <c r="K20" s="6">
        <v>0.284</v>
      </c>
    </row>
    <row r="21" spans="1:11">
      <c r="A21" s="3" t="s">
        <v>78</v>
      </c>
      <c r="B21" s="3" t="s">
        <v>81</v>
      </c>
      <c r="C21" s="9">
        <v>3</v>
      </c>
      <c r="D21" s="9">
        <v>107476</v>
      </c>
      <c r="E21" s="10">
        <v>1051.3</v>
      </c>
      <c r="F21" s="11">
        <v>11.05</v>
      </c>
      <c r="G21" s="11">
        <v>99.93000000000001</v>
      </c>
      <c r="H21" s="9">
        <v>5</v>
      </c>
      <c r="I21" s="11">
        <v>4270</v>
      </c>
      <c r="J21" s="11">
        <v>2000</v>
      </c>
      <c r="K21" s="6">
        <v>0.284</v>
      </c>
    </row>
    <row r="22" spans="1:11">
      <c r="A22" s="3" t="s">
        <v>78</v>
      </c>
      <c r="B22" s="3" t="s">
        <v>82</v>
      </c>
      <c r="C22" s="9">
        <v>4</v>
      </c>
      <c r="D22" s="9">
        <v>706</v>
      </c>
      <c r="E22" s="10">
        <v>6.8</v>
      </c>
      <c r="F22" s="11">
        <v>0.07000000000000001</v>
      </c>
      <c r="G22" s="11">
        <v>100</v>
      </c>
      <c r="H22" s="9">
        <v>5</v>
      </c>
      <c r="I22" s="11">
        <v>4270</v>
      </c>
      <c r="J22" s="11">
        <v>2000</v>
      </c>
      <c r="K22" s="6">
        <v>0.284</v>
      </c>
    </row>
    <row r="23" spans="1:11">
      <c r="A23" s="3" t="s">
        <v>78</v>
      </c>
      <c r="B23" s="3" t="s">
        <v>83</v>
      </c>
      <c r="C23" s="9">
        <v>5</v>
      </c>
      <c r="D23" s="9">
        <v>1</v>
      </c>
      <c r="E23" s="10">
        <v>0</v>
      </c>
      <c r="F23" s="11">
        <v>0</v>
      </c>
      <c r="G23" s="11">
        <v>100</v>
      </c>
      <c r="H23" s="9">
        <v>5</v>
      </c>
      <c r="I23" s="11">
        <v>4270</v>
      </c>
      <c r="J23" s="11">
        <v>2000</v>
      </c>
      <c r="K23" s="6">
        <v>0.284</v>
      </c>
    </row>
    <row r="24" spans="1:11">
      <c r="A24" s="3" t="s">
        <v>34</v>
      </c>
      <c r="B24" s="3" t="s">
        <v>35</v>
      </c>
      <c r="C24" s="9">
        <v>1</v>
      </c>
      <c r="D24" s="9">
        <v>493847</v>
      </c>
      <c r="E24" s="10">
        <v>5556.2</v>
      </c>
      <c r="F24" s="11">
        <v>58.42</v>
      </c>
      <c r="G24" s="11">
        <v>58.42</v>
      </c>
      <c r="H24" s="9">
        <v>14</v>
      </c>
      <c r="I24" s="11">
        <v>4074</v>
      </c>
      <c r="J24" s="11">
        <v>714.3</v>
      </c>
      <c r="K24" s="6">
        <v>0.362</v>
      </c>
    </row>
    <row r="25" spans="1:11">
      <c r="A25" s="3" t="s">
        <v>34</v>
      </c>
      <c r="B25" s="3" t="s">
        <v>84</v>
      </c>
      <c r="C25" s="9">
        <v>2</v>
      </c>
      <c r="D25" s="9">
        <v>220254</v>
      </c>
      <c r="E25" s="10">
        <v>2307.1</v>
      </c>
      <c r="F25" s="11">
        <v>24.26</v>
      </c>
      <c r="G25" s="11">
        <v>82.68000000000001</v>
      </c>
      <c r="H25" s="9">
        <v>14</v>
      </c>
      <c r="I25" s="11">
        <v>4074</v>
      </c>
      <c r="J25" s="11">
        <v>714.3</v>
      </c>
      <c r="K25" s="6">
        <v>0.362</v>
      </c>
    </row>
    <row r="26" spans="1:11">
      <c r="A26" s="3" t="s">
        <v>34</v>
      </c>
      <c r="B26" s="3" t="s">
        <v>85</v>
      </c>
      <c r="C26" s="9">
        <v>3</v>
      </c>
      <c r="D26" s="9">
        <v>62413</v>
      </c>
      <c r="E26" s="10">
        <v>621.4</v>
      </c>
      <c r="F26" s="11">
        <v>6.53</v>
      </c>
      <c r="G26" s="11">
        <v>89.20999999999999</v>
      </c>
      <c r="H26" s="9">
        <v>14</v>
      </c>
      <c r="I26" s="11">
        <v>4074</v>
      </c>
      <c r="J26" s="11">
        <v>714.3</v>
      </c>
      <c r="K26" s="6">
        <v>0.362</v>
      </c>
    </row>
    <row r="27" spans="1:11">
      <c r="A27" s="3" t="s">
        <v>34</v>
      </c>
      <c r="B27" s="3" t="s">
        <v>86</v>
      </c>
      <c r="C27" s="9">
        <v>4</v>
      </c>
      <c r="D27" s="9">
        <v>60808</v>
      </c>
      <c r="E27" s="10">
        <v>451.7</v>
      </c>
      <c r="F27" s="11">
        <v>4.75</v>
      </c>
      <c r="G27" s="11">
        <v>93.95999999999999</v>
      </c>
      <c r="H27" s="9">
        <v>14</v>
      </c>
      <c r="I27" s="11">
        <v>4074</v>
      </c>
      <c r="J27" s="11">
        <v>714.3</v>
      </c>
      <c r="K27" s="6">
        <v>0.362</v>
      </c>
    </row>
    <row r="28" spans="1:11">
      <c r="A28" s="3" t="s">
        <v>34</v>
      </c>
      <c r="B28" s="3" t="s">
        <v>87</v>
      </c>
      <c r="C28" s="9">
        <v>5</v>
      </c>
      <c r="D28" s="9">
        <v>20782</v>
      </c>
      <c r="E28" s="10">
        <v>188.7</v>
      </c>
      <c r="F28" s="11">
        <v>1.98</v>
      </c>
      <c r="G28" s="11">
        <v>95.95</v>
      </c>
      <c r="H28" s="9">
        <v>14</v>
      </c>
      <c r="I28" s="11">
        <v>4074</v>
      </c>
      <c r="J28" s="11">
        <v>714.3</v>
      </c>
      <c r="K28" s="6">
        <v>0.362</v>
      </c>
    </row>
    <row r="29" spans="1:11">
      <c r="A29" s="3" t="s">
        <v>34</v>
      </c>
      <c r="B29" s="3" t="s">
        <v>88</v>
      </c>
      <c r="C29" s="9">
        <v>6</v>
      </c>
      <c r="D29" s="9">
        <v>9069</v>
      </c>
      <c r="E29" s="10">
        <v>103.9</v>
      </c>
      <c r="F29" s="11">
        <v>1.09</v>
      </c>
      <c r="G29" s="11">
        <v>97.04000000000001</v>
      </c>
      <c r="H29" s="9">
        <v>14</v>
      </c>
      <c r="I29" s="11">
        <v>4074</v>
      </c>
      <c r="J29" s="11">
        <v>714.3</v>
      </c>
      <c r="K29" s="6">
        <v>0.362</v>
      </c>
    </row>
    <row r="30" spans="1:11">
      <c r="A30" s="3" t="s">
        <v>34</v>
      </c>
      <c r="B30" s="3" t="s">
        <v>89</v>
      </c>
      <c r="C30" s="9">
        <v>7</v>
      </c>
      <c r="D30" s="9">
        <v>6810</v>
      </c>
      <c r="E30" s="10">
        <v>78.5</v>
      </c>
      <c r="F30" s="11">
        <v>0.83</v>
      </c>
      <c r="G30" s="11">
        <v>97.87</v>
      </c>
      <c r="H30" s="9">
        <v>14</v>
      </c>
      <c r="I30" s="11">
        <v>4074</v>
      </c>
      <c r="J30" s="11">
        <v>714.3</v>
      </c>
      <c r="K30" s="6">
        <v>0.362</v>
      </c>
    </row>
    <row r="31" spans="1:11">
      <c r="A31" s="3" t="s">
        <v>34</v>
      </c>
      <c r="B31" s="3" t="s">
        <v>90</v>
      </c>
      <c r="C31" s="9">
        <v>8</v>
      </c>
      <c r="D31" s="9">
        <v>11823</v>
      </c>
      <c r="E31" s="10">
        <v>78</v>
      </c>
      <c r="F31" s="11">
        <v>0.82</v>
      </c>
      <c r="G31" s="11">
        <v>98.69</v>
      </c>
      <c r="H31" s="9">
        <v>14</v>
      </c>
      <c r="I31" s="11">
        <v>4074</v>
      </c>
      <c r="J31" s="11">
        <v>714.3</v>
      </c>
      <c r="K31" s="6">
        <v>0.362</v>
      </c>
    </row>
    <row r="32" spans="1:11">
      <c r="A32" s="3" t="s">
        <v>34</v>
      </c>
      <c r="B32" s="3" t="s">
        <v>91</v>
      </c>
      <c r="C32" s="9">
        <v>9</v>
      </c>
      <c r="D32" s="9">
        <v>9319</v>
      </c>
      <c r="E32" s="10">
        <v>60</v>
      </c>
      <c r="F32" s="11">
        <v>0.63</v>
      </c>
      <c r="G32" s="11">
        <v>99.31999999999999</v>
      </c>
      <c r="H32" s="9">
        <v>14</v>
      </c>
      <c r="I32" s="11">
        <v>4074</v>
      </c>
      <c r="J32" s="11">
        <v>714.3</v>
      </c>
      <c r="K32" s="6">
        <v>0.362</v>
      </c>
    </row>
    <row r="33" spans="1:11">
      <c r="A33" s="3" t="s">
        <v>34</v>
      </c>
      <c r="B33" s="3" t="s">
        <v>92</v>
      </c>
      <c r="C33" s="9">
        <v>10</v>
      </c>
      <c r="D33" s="9">
        <v>5851</v>
      </c>
      <c r="E33" s="10">
        <v>35</v>
      </c>
      <c r="F33" s="11">
        <v>0.37</v>
      </c>
      <c r="G33" s="11">
        <v>99.68000000000001</v>
      </c>
      <c r="H33" s="9">
        <v>14</v>
      </c>
      <c r="I33" s="11">
        <v>4074</v>
      </c>
      <c r="J33" s="11">
        <v>714.3</v>
      </c>
      <c r="K33" s="6">
        <v>0.362</v>
      </c>
    </row>
    <row r="34" spans="1:11">
      <c r="A34" s="3" t="s">
        <v>93</v>
      </c>
      <c r="B34" s="3" t="s">
        <v>94</v>
      </c>
      <c r="C34" s="9">
        <v>1</v>
      </c>
      <c r="D34" s="9">
        <v>325108</v>
      </c>
      <c r="E34" s="10">
        <v>4872.6</v>
      </c>
      <c r="F34" s="11">
        <v>51.23</v>
      </c>
      <c r="G34" s="11">
        <v>51.23</v>
      </c>
      <c r="H34" s="9">
        <v>2</v>
      </c>
      <c r="I34" s="11">
        <v>5003</v>
      </c>
      <c r="J34" s="11">
        <v>5000</v>
      </c>
      <c r="K34" s="6">
        <v>0.001</v>
      </c>
    </row>
    <row r="35" spans="1:11">
      <c r="A35" s="3" t="s">
        <v>93</v>
      </c>
      <c r="B35" s="3" t="s">
        <v>95</v>
      </c>
      <c r="C35" s="9">
        <v>2</v>
      </c>
      <c r="D35" s="9">
        <v>582796</v>
      </c>
      <c r="E35" s="10">
        <v>4637.8</v>
      </c>
      <c r="F35" s="11">
        <v>48.77</v>
      </c>
      <c r="G35" s="11">
        <v>100</v>
      </c>
      <c r="H35" s="9">
        <v>2</v>
      </c>
      <c r="I35" s="11">
        <v>5003</v>
      </c>
      <c r="J35" s="11">
        <v>5000</v>
      </c>
      <c r="K35" s="6">
        <v>0.001</v>
      </c>
    </row>
    <row r="37" spans="1:11">
      <c r="A37" s="8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12.7109375" customWidth="1"/>
    <col min="4" max="4" width="10.7109375" customWidth="1"/>
    <col min="5" max="6" width="11.7109375" customWidth="1"/>
    <col min="7" max="7" width="15.7109375" customWidth="1"/>
    <col min="8" max="8" width="42.7109375" customWidth="1"/>
  </cols>
  <sheetData>
    <row r="1" spans="1:8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26</v>
      </c>
    </row>
    <row r="2" spans="1:8">
      <c r="A2" s="3" t="s">
        <v>104</v>
      </c>
      <c r="B2" s="3" t="s">
        <v>105</v>
      </c>
      <c r="C2" s="3" t="s">
        <v>106</v>
      </c>
      <c r="D2" s="9">
        <v>2016</v>
      </c>
      <c r="E2" s="6">
        <v>0.032</v>
      </c>
      <c r="F2" s="6">
        <v>0.014</v>
      </c>
      <c r="G2" s="6">
        <v>2.233</v>
      </c>
      <c r="H2" s="12" t="s">
        <v>107</v>
      </c>
    </row>
    <row r="3" spans="1:8">
      <c r="A3" s="3" t="s">
        <v>104</v>
      </c>
      <c r="B3" s="3" t="s">
        <v>105</v>
      </c>
      <c r="C3" s="3" t="s">
        <v>106</v>
      </c>
      <c r="D3" s="9">
        <v>2017</v>
      </c>
      <c r="E3" s="6">
        <v>0.047</v>
      </c>
      <c r="F3" s="6">
        <v>0.014</v>
      </c>
      <c r="G3" s="6">
        <v>3.279</v>
      </c>
      <c r="H3" s="13" t="s">
        <v>108</v>
      </c>
    </row>
    <row r="4" spans="1:8">
      <c r="A4" s="3" t="s">
        <v>104</v>
      </c>
      <c r="B4" s="3" t="s">
        <v>105</v>
      </c>
      <c r="C4" s="3" t="s">
        <v>106</v>
      </c>
      <c r="D4" s="9">
        <v>2018</v>
      </c>
      <c r="E4" s="6">
        <v>0.073</v>
      </c>
      <c r="F4" s="6">
        <v>0.014</v>
      </c>
      <c r="G4" s="6">
        <v>5.093</v>
      </c>
      <c r="H4" s="13" t="s">
        <v>108</v>
      </c>
    </row>
    <row r="5" spans="1:8">
      <c r="A5" s="3" t="s">
        <v>109</v>
      </c>
      <c r="B5" s="3" t="s">
        <v>110</v>
      </c>
      <c r="C5" s="3" t="s">
        <v>111</v>
      </c>
      <c r="D5" s="9">
        <v>2016</v>
      </c>
      <c r="E5" s="6">
        <v>1.75</v>
      </c>
      <c r="F5" s="6">
        <v>1.27</v>
      </c>
      <c r="G5" s="6">
        <v>36.9</v>
      </c>
      <c r="H5" s="13" t="s">
        <v>108</v>
      </c>
    </row>
    <row r="6" spans="1:8">
      <c r="A6" s="3" t="s">
        <v>109</v>
      </c>
      <c r="B6" s="3" t="s">
        <v>110</v>
      </c>
      <c r="C6" s="3" t="s">
        <v>112</v>
      </c>
      <c r="D6" s="9">
        <v>2016</v>
      </c>
      <c r="E6" s="6">
        <v>4.15</v>
      </c>
      <c r="F6" s="6">
        <v>3.12</v>
      </c>
      <c r="G6" s="6">
        <v>33</v>
      </c>
      <c r="H6" s="13" t="s">
        <v>108</v>
      </c>
    </row>
    <row r="7" spans="1:8">
      <c r="A7" s="3" t="s">
        <v>109</v>
      </c>
      <c r="B7" s="3" t="s">
        <v>110</v>
      </c>
      <c r="C7" s="3" t="s">
        <v>113</v>
      </c>
      <c r="D7" s="9">
        <v>2016</v>
      </c>
      <c r="E7" s="6">
        <v>7.9</v>
      </c>
      <c r="F7" s="6">
        <v>5.99</v>
      </c>
      <c r="G7" s="6">
        <v>31.8</v>
      </c>
      <c r="H7" s="13" t="s">
        <v>108</v>
      </c>
    </row>
    <row r="8" spans="1:8">
      <c r="A8" s="3" t="s">
        <v>109</v>
      </c>
      <c r="B8" s="3" t="s">
        <v>110</v>
      </c>
      <c r="C8" s="3" t="s">
        <v>114</v>
      </c>
      <c r="D8" s="9">
        <v>2016</v>
      </c>
      <c r="E8" s="6">
        <v>12.62</v>
      </c>
      <c r="F8" s="6">
        <v>9.220000000000001</v>
      </c>
      <c r="G8" s="6">
        <v>36.8</v>
      </c>
      <c r="H8" s="13" t="s">
        <v>108</v>
      </c>
    </row>
    <row r="9" spans="1:8">
      <c r="A9" s="3" t="s">
        <v>115</v>
      </c>
      <c r="B9" s="3" t="s">
        <v>116</v>
      </c>
      <c r="C9" s="3" t="s">
        <v>106</v>
      </c>
      <c r="D9" s="9">
        <v>2016</v>
      </c>
      <c r="E9" s="6">
        <v>6.31</v>
      </c>
      <c r="F9" s="6">
        <v>4.72</v>
      </c>
      <c r="G9" s="6">
        <v>1.338</v>
      </c>
      <c r="H9" s="12" t="s">
        <v>107</v>
      </c>
    </row>
    <row r="10" spans="1:8">
      <c r="A10" s="3" t="s">
        <v>115</v>
      </c>
      <c r="B10" s="3" t="s">
        <v>116</v>
      </c>
      <c r="C10" s="3" t="s">
        <v>106</v>
      </c>
      <c r="D10" s="9">
        <v>2017</v>
      </c>
      <c r="E10" s="6">
        <v>5.66</v>
      </c>
      <c r="F10" s="6">
        <v>4.72</v>
      </c>
      <c r="G10" s="6">
        <v>1.199</v>
      </c>
      <c r="H10" s="14" t="s">
        <v>117</v>
      </c>
    </row>
    <row r="11" spans="1:8">
      <c r="A11" s="3" t="s">
        <v>115</v>
      </c>
      <c r="B11" s="3" t="s">
        <v>116</v>
      </c>
      <c r="C11" s="3" t="s">
        <v>106</v>
      </c>
      <c r="D11" s="9">
        <v>2018</v>
      </c>
      <c r="E11" s="15" t="s">
        <v>118</v>
      </c>
      <c r="F11" s="6">
        <v>4.72</v>
      </c>
      <c r="G11" s="15" t="s">
        <v>118</v>
      </c>
      <c r="H11" s="15" t="s">
        <v>119</v>
      </c>
    </row>
    <row r="13" spans="1:8">
      <c r="A13" s="8" t="s">
        <v>120</v>
      </c>
    </row>
    <row r="15" spans="1:8">
      <c r="A15" s="2" t="s">
        <v>121</v>
      </c>
    </row>
    <row r="16" spans="1:8">
      <c r="A16" s="3" t="s">
        <v>104</v>
      </c>
      <c r="B16" s="3" t="s">
        <v>105</v>
      </c>
      <c r="C16" s="11">
        <v>2</v>
      </c>
      <c r="D16" s="11">
        <v>3</v>
      </c>
      <c r="E16" s="3" t="s">
        <v>122</v>
      </c>
    </row>
    <row r="17" spans="1:5">
      <c r="A17" s="3" t="s">
        <v>109</v>
      </c>
      <c r="B17" s="3" t="s">
        <v>110</v>
      </c>
      <c r="C17" s="11">
        <v>20</v>
      </c>
      <c r="D17" s="11">
        <v>30</v>
      </c>
      <c r="E17" s="3" t="s">
        <v>123</v>
      </c>
    </row>
    <row r="18" spans="1:5">
      <c r="A18" s="3" t="s">
        <v>115</v>
      </c>
      <c r="B18" s="3" t="s">
        <v>116</v>
      </c>
      <c r="C18" s="11">
        <v>1.2</v>
      </c>
      <c r="D18" s="11">
        <v>1.35</v>
      </c>
      <c r="E18" s="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18.7109375" customWidth="1"/>
    <col min="5" max="6" width="14.7109375" customWidth="1"/>
    <col min="7" max="7" width="16.7109375" customWidth="1"/>
  </cols>
  <sheetData>
    <row r="1" spans="1:7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27</v>
      </c>
    </row>
    <row r="2" spans="1:7">
      <c r="A2" s="3" t="s">
        <v>131</v>
      </c>
      <c r="B2" s="3" t="s">
        <v>132</v>
      </c>
      <c r="C2" s="11">
        <v>1</v>
      </c>
      <c r="D2" s="10">
        <v>548.1</v>
      </c>
      <c r="E2" s="11">
        <v>5.76</v>
      </c>
      <c r="F2" s="10">
        <v>0</v>
      </c>
      <c r="G2" s="3" t="s">
        <v>133</v>
      </c>
    </row>
    <row r="3" spans="1:7">
      <c r="A3" s="3" t="s">
        <v>134</v>
      </c>
      <c r="B3" s="3" t="s">
        <v>135</v>
      </c>
      <c r="C3" s="11">
        <v>1.5</v>
      </c>
      <c r="D3" s="10">
        <v>822.2</v>
      </c>
      <c r="E3" s="11">
        <v>8.65</v>
      </c>
      <c r="F3" s="10">
        <v>274.1</v>
      </c>
      <c r="G3" s="3" t="s">
        <v>136</v>
      </c>
    </row>
    <row r="4" spans="1:7">
      <c r="A4" s="3" t="s">
        <v>137</v>
      </c>
      <c r="B4" s="3" t="s">
        <v>138</v>
      </c>
      <c r="C4" s="11">
        <v>2.33</v>
      </c>
      <c r="D4" s="10">
        <v>1277.1</v>
      </c>
      <c r="E4" s="11">
        <v>13.43</v>
      </c>
      <c r="F4" s="10">
        <v>729</v>
      </c>
      <c r="G4" s="3" t="s">
        <v>136</v>
      </c>
    </row>
    <row r="6" spans="1:7">
      <c r="A6" s="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Limits</vt:lpstr>
      <vt:lpstr>Concentration</vt:lpstr>
      <vt:lpstr>EWI Panel</vt:lpstr>
      <vt:lpstr>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2026-07-17T03:44:00Z</dcterms:created>
  <dcterms:modified xsi:type="dcterms:W3CDTF">2026-07-17T03:44:00Z</dcterms:modified>
</cp:coreProperties>
</file>